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h Phat\Documents\UIT\MovieManager\Data\"/>
    </mc:Choice>
  </mc:AlternateContent>
  <xr:revisionPtr revIDLastSave="0" documentId="13_ncr:1_{DC808623-1A19-4B1D-886D-DBB4CCDE61B0}" xr6:coauthVersionLast="47" xr6:coauthVersionMax="47" xr10:uidLastSave="{00000000-0000-0000-0000-000000000000}"/>
  <bookViews>
    <workbookView xWindow="-110" yWindow="-110" windowWidth="25820" windowHeight="15500" activeTab="7" xr2:uid="{8A1C6B9F-F696-49BA-8ECA-23D238E7B1A7}"/>
  </bookViews>
  <sheets>
    <sheet name="Movie" sheetId="1" r:id="rId1"/>
    <sheet name="Hall" sheetId="4" r:id="rId2"/>
    <sheet name="Screen" sheetId="5" r:id="rId3"/>
    <sheet name="Seat" sheetId="6" r:id="rId4"/>
    <sheet name="Customer" sheetId="7" r:id="rId5"/>
    <sheet name="Shift Schedule" sheetId="8" r:id="rId6"/>
    <sheet name="Staff" sheetId="9" r:id="rId7"/>
    <sheet name="Snack" sheetId="10" r:id="rId8"/>
    <sheet name="ShowTime" sheetId="11" r:id="rId9"/>
    <sheet name="Ticket" sheetId="12" r:id="rId10"/>
    <sheet name="Ticket Snack" sheetId="13" r:id="rId11"/>
    <sheet name="Account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2" i="14"/>
  <c r="E3" i="8"/>
  <c r="E4" i="8"/>
  <c r="E5" i="8"/>
  <c r="E2" i="8"/>
  <c r="G3" i="9"/>
  <c r="G4" i="9"/>
  <c r="G5" i="9"/>
  <c r="G6" i="9"/>
  <c r="G7" i="9"/>
  <c r="G8" i="9"/>
  <c r="G2" i="9"/>
</calcChain>
</file>

<file path=xl/sharedStrings.xml><?xml version="1.0" encoding="utf-8"?>
<sst xmlns="http://schemas.openxmlformats.org/spreadsheetml/2006/main" count="252" uniqueCount="189">
  <si>
    <t>title</t>
  </si>
  <si>
    <t>genre</t>
  </si>
  <si>
    <t>rated</t>
  </si>
  <si>
    <t>release date</t>
  </si>
  <si>
    <t>director</t>
  </si>
  <si>
    <t>language</t>
  </si>
  <si>
    <t>duration</t>
  </si>
  <si>
    <t>format</t>
  </si>
  <si>
    <t>trailer</t>
  </si>
  <si>
    <t>name</t>
  </si>
  <si>
    <t>idmovie</t>
  </si>
  <si>
    <t>location</t>
  </si>
  <si>
    <t>number</t>
  </si>
  <si>
    <t>capacity</t>
  </si>
  <si>
    <t>available seat</t>
  </si>
  <si>
    <t>type</t>
  </si>
  <si>
    <t>idhall</t>
  </si>
  <si>
    <t>row</t>
  </si>
  <si>
    <t>idscreen</t>
  </si>
  <si>
    <t>email</t>
  </si>
  <si>
    <t>phone number</t>
  </si>
  <si>
    <t>membership</t>
  </si>
  <si>
    <t>start schedule</t>
  </si>
  <si>
    <t>end schedule</t>
  </si>
  <si>
    <t>role</t>
  </si>
  <si>
    <t>contact info</t>
  </si>
  <si>
    <t>idshiftschedule</t>
  </si>
  <si>
    <t>price</t>
  </si>
  <si>
    <t>stock</t>
  </si>
  <si>
    <t>category</t>
  </si>
  <si>
    <t>start time</t>
  </si>
  <si>
    <t>end time</t>
  </si>
  <si>
    <t>purchase date</t>
  </si>
  <si>
    <t>payment method</t>
  </si>
  <si>
    <t>paymebt status</t>
  </si>
  <si>
    <t>discount</t>
  </si>
  <si>
    <t>idseat</t>
  </si>
  <si>
    <t>idcustomer</t>
  </si>
  <si>
    <t>idstaff</t>
  </si>
  <si>
    <t>idsnack</t>
  </si>
  <si>
    <t>idshowtime</t>
  </si>
  <si>
    <t>id ticket</t>
  </si>
  <si>
    <t>quantity</t>
  </si>
  <si>
    <t>username</t>
  </si>
  <si>
    <t>password</t>
  </si>
  <si>
    <t>admin</t>
  </si>
  <si>
    <t>TEE YOD: QUỶ ĂN TẠNG PHẦN 3</t>
  </si>
  <si>
    <t>Narit Yuvaboon</t>
  </si>
  <si>
    <t>Kinh Dị</t>
  </si>
  <si>
    <t>T16</t>
  </si>
  <si>
    <t>https://youtu.be/DMOGnGokm4c</t>
  </si>
  <si>
    <t>TAY ANH GIỮ MỘT VÌ SAO</t>
  </si>
  <si>
    <t>Kim Sung Hoon</t>
  </si>
  <si>
    <t>Hài, Tình cảm</t>
  </si>
  <si>
    <t>  03/10/2025</t>
  </si>
  <si>
    <t>K </t>
  </si>
  <si>
    <t>117 </t>
  </si>
  <si>
    <t>https://youtu.be/ZsSYbAy2Ez8</t>
  </si>
  <si>
    <t>TỬ CHIẾN TRÊN KHÔNG</t>
  </si>
  <si>
    <t>Hành Động, Hồi hộp</t>
  </si>
  <si>
    <t>19/09/2025</t>
  </si>
  <si>
    <t>Hàm Trần</t>
  </si>
  <si>
    <t>Tiếng Việt</t>
  </si>
  <si>
    <t xml:space="preserve">4DX </t>
  </si>
  <si>
    <t>https://youtu.be/h4O-GbuwwlM</t>
  </si>
  <si>
    <t>THE CONJURING: NGHI LỄ CUỐI CÙNG</t>
  </si>
  <si>
    <t>T16 </t>
  </si>
  <si>
    <t>Michael Chaves</t>
  </si>
  <si>
    <t>https://youtu.be/sbsNPOzdBg0</t>
  </si>
  <si>
    <t>TRÒ CHƠI ẢO GIÁC : ARES</t>
  </si>
  <si>
    <t>Hành Động, Khoa Học Viễn Tưởng, Phiêu Lưu</t>
  </si>
  <si>
    <t>T13</t>
  </si>
  <si>
    <t> 10/10/2025</t>
  </si>
  <si>
    <t>Joachim Rønning</t>
  </si>
  <si>
    <t>https://youtu.be/oQVd-gXMQ6I</t>
  </si>
  <si>
    <t>EXIT 8: GA TÀU VÔ TẬN</t>
  </si>
  <si>
    <t>26/09/2025</t>
  </si>
  <si>
    <t>Genki Kawamura</t>
  </si>
  <si>
    <t>https://youtu.be/YXR0tMXhnog</t>
  </si>
  <si>
    <t>T18</t>
  </si>
  <si>
    <t>CỤC VÀNG CỦA NGOẠI</t>
  </si>
  <si>
    <t>Gia đình, Tâm Lý</t>
  </si>
  <si>
    <t>17/10/2025</t>
  </si>
  <si>
    <t>Khương Ngọc</t>
  </si>
  <si>
    <t>https://youtu.be/YPCtgD0KnGk</t>
  </si>
  <si>
    <t>PHI VỤ ĐỘNG TRỜI 2</t>
  </si>
  <si>
    <t>Jared Bush, Byron Howard</t>
  </si>
  <si>
    <t>28/11/2025</t>
  </si>
  <si>
    <t>Gia đình, Hành Động, Phiêu Lưu, Thần thoại</t>
  </si>
  <si>
    <t>https://youtu.be/YGITWOibh10</t>
  </si>
  <si>
    <t>ĐIỆN THOẠI ĐEN 2</t>
  </si>
  <si>
    <t>Scott Derrickson</t>
  </si>
  <si>
    <t>Hồi hộp, Kinh Dị</t>
  </si>
  <si>
    <t>31/10/2025</t>
  </si>
  <si>
    <t>Tiếng Anh - phụ đề Tiếng Việt</t>
  </si>
  <si>
    <t>https://youtu.be/Uo5sNWGrFQ8</t>
  </si>
  <si>
    <t>id</t>
  </si>
  <si>
    <t>Tiếng Việt - phụ đề tiếng Anh</t>
  </si>
  <si>
    <t>Tiếng Nhật - phụ đề Tiếng Việt, Tiếng Anh</t>
  </si>
  <si>
    <t>Tiếng Hàn, Tiếng Anh, Tiếng Việt - phụ đề Tiếng Việt</t>
  </si>
  <si>
    <t>Tiếng Thái - phụ đề Tiếng Việt, Tiếng Anh</t>
  </si>
  <si>
    <t>actor</t>
  </si>
  <si>
    <t>183/13/14 bến Vân Đồn, quận 4, thành phố Hồ Chí Minh</t>
  </si>
  <si>
    <t>đường Tân Phước Khánh 19, Tổ 3, khu phố Bình Hoà 2, phường Tân Phước Khánh, thị xã Tân Uyên, tỉnh Bình Dương</t>
  </si>
  <si>
    <t>15DC23, đường D20, khu dân cư Việt-Sing, phường An Phú, thành phố Thuận An, tỉnh Bình Dương</t>
  </si>
  <si>
    <t>TP Thuận An</t>
  </si>
  <si>
    <t>TP Vân Đồn</t>
  </si>
  <si>
    <t>TP</t>
  </si>
  <si>
    <t>TP Tân Uyên</t>
  </si>
  <si>
    <t>79/1B, khu phố Thạnh Quý, phường An Thạnh, thành phố Thuận An, tỉnh Bình Dương</t>
  </si>
  <si>
    <t>iMax</t>
  </si>
  <si>
    <t>Bắp rang truyền thống</t>
  </si>
  <si>
    <t>Bắp rang phô mai</t>
  </si>
  <si>
    <t>Bắp rang caramel</t>
  </si>
  <si>
    <t>Coca Cola</t>
  </si>
  <si>
    <t>Sprite</t>
  </si>
  <si>
    <t>Fanta</t>
  </si>
  <si>
    <t>Hot dog</t>
  </si>
  <si>
    <t>Lays</t>
  </si>
  <si>
    <t>Gà viên</t>
  </si>
  <si>
    <t>Pepsi</t>
  </si>
  <si>
    <t>Matcha latte</t>
  </si>
  <si>
    <t>Trà vải</t>
  </si>
  <si>
    <t>Bạc xỉu</t>
  </si>
  <si>
    <t>Trà sữa truyền thống</t>
  </si>
  <si>
    <t>Bánh quy</t>
  </si>
  <si>
    <t>Croissant truyền thống</t>
  </si>
  <si>
    <t>Croissant phô mai thịt nguội</t>
  </si>
  <si>
    <t>Bánh chuối</t>
  </si>
  <si>
    <t>Bánh waffle</t>
  </si>
  <si>
    <t>Khoai tây chiên</t>
  </si>
  <si>
    <t>đồ ăn</t>
  </si>
  <si>
    <t>nước uống</t>
  </si>
  <si>
    <t>Nguyễn Minh Anh</t>
  </si>
  <si>
    <t>Giám đốc marketing</t>
  </si>
  <si>
    <t>Trần Minh Đức</t>
  </si>
  <si>
    <t>Nhân viên</t>
  </si>
  <si>
    <t>Phạm Đan Trường</t>
  </si>
  <si>
    <t>Quản lý</t>
  </si>
  <si>
    <t>Hồ Thịnh Phát</t>
  </si>
  <si>
    <t>Võ Việt Thy</t>
  </si>
  <si>
    <t>Lê Phương Thúy</t>
  </si>
  <si>
    <t>Nguyễn Thanh Hiếu Thảo</t>
  </si>
  <si>
    <t>minhanh2104</t>
  </si>
  <si>
    <t>minhduc2303</t>
  </si>
  <si>
    <t>dantruong2007</t>
  </si>
  <si>
    <t>thinhphat1512</t>
  </si>
  <si>
    <t>vietthy1908</t>
  </si>
  <si>
    <t>phuongthuy2505</t>
  </si>
  <si>
    <t>hieuthao2103</t>
  </si>
  <si>
    <t>tpnma@</t>
  </si>
  <si>
    <t>tptmd@</t>
  </si>
  <si>
    <t>tppdt@</t>
  </si>
  <si>
    <t>tphtp@</t>
  </si>
  <si>
    <t>tpvvt@</t>
  </si>
  <si>
    <t>tplpt@</t>
  </si>
  <si>
    <t>tpntht@</t>
  </si>
  <si>
    <t>mlanhmlanh214@gmail.com</t>
  </si>
  <si>
    <t>truongpd.a2.2124@gmail.com</t>
  </si>
  <si>
    <t>phatht.a2.2124@gmail.com</t>
  </si>
  <si>
    <t>thyvv.a2.2124@gmail.com</t>
  </si>
  <si>
    <t>thaontt.a2.2124@gmail.com</t>
  </si>
  <si>
    <t>thuylp.a2.2124@gmail.com</t>
  </si>
  <si>
    <t>minhduct50@gmail.com</t>
  </si>
  <si>
    <t>Nadech Kugimiya, Denise Jelilcha Kapaun, Mim Rattawadee Wongthong, Junior Kajbhunditt Jaidee, Friend Peerakrit Phacharaboonyakiat</t>
  </si>
  <si>
    <t>Lee Kwang Soo, Hoàng Hà, Duy Khánh, Cù Thị Trà, Um Mun Suk, Lâm Thanh Mỹ,...</t>
  </si>
  <si>
    <t>Thái Hòa, Kaity Nguyễn, Thanh Sơn, Xuân Phúc, Võ Điền Gia Huy, Trần Ngọc Vàng, Ma Ran Đô, Lợi Trần, Trâm Anh, Xuân Văn, Bảo Định, Ray Nguyễn...</t>
  </si>
  <si>
    <t>Patrick Wilson, Vera Farmiga, Ben Hardy, Beau Gadsdon, ...</t>
  </si>
  <si>
    <t>Jared Leto, Greta Lee, Evan Peters, Hasan Minhaj, Jodie Turner-Smith, Arturo Castro, Cameron Monaghan, Gillian Anderson và Jeff Bridges.</t>
  </si>
  <si>
    <t>Việt Hương, Hồng Đào, Lê Khánh, Băng Di, Lâm Thanh Mỹ, Hữu Châu, Tuấn Khải, Thư Đan, Panda</t>
  </si>
  <si>
    <t>Ethan Hawke, Mason Thames, Madeleine McGraw, Demián Bichir, Miguel Mora, Jeremy Davies, Arianna Rivas.</t>
  </si>
  <si>
    <t>Jason Bateman, Quinta Brunson, Fortune Feimster</t>
  </si>
  <si>
    <t>Kazunari Ninomiya, Yamato Kochi, Nana Komatsu</t>
  </si>
  <si>
    <t>7:30:00</t>
  </si>
  <si>
    <t>12:30:00</t>
  </si>
  <si>
    <t>17:30:00</t>
  </si>
  <si>
    <t>22:30:00</t>
  </si>
  <si>
    <t>2:30:00</t>
  </si>
  <si>
    <t>idticket</t>
  </si>
  <si>
    <t>Cơm chiên</t>
  </si>
  <si>
    <t>Cơm trắng</t>
  </si>
  <si>
    <t>Cơm gà sốt phô mai</t>
  </si>
  <si>
    <t>Cơm bò sốt tiêu đen</t>
  </si>
  <si>
    <t>Cơm thịt heo chiên xù</t>
  </si>
  <si>
    <t>LỌ LEM CHƠI NGẢI</t>
  </si>
  <si>
    <t>Hadrah Daeng Ratu</t>
  </si>
  <si>
    <t>https://youtu.be/u0A17Cn7Yo0</t>
  </si>
  <si>
    <t>Yunita Siregar, Dinda Kanyadewi, Tarra Budiman</t>
  </si>
  <si>
    <t>Tiếng Indonesia - phụ đề Tiếng Việt, 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</si>
</sst>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1A1919"/>
      <name val="Calibri"/>
      <family val="2"/>
    </font>
    <font>
      <sz val="11"/>
      <color rgb="FF222222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1" applyFont="1"/>
    <xf numFmtId="16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/>
    </xf>
    <xf numFmtId="0" fontId="7" fillId="0" borderId="0" xfId="1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1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u0A17Cn7Yo0" TargetMode="External"/><Relationship Id="rId3" Type="http://schemas.openxmlformats.org/officeDocument/2006/relationships/hyperlink" Target="https://youtu.be/sbsNPOzdBg0" TargetMode="External"/><Relationship Id="rId7" Type="http://schemas.openxmlformats.org/officeDocument/2006/relationships/hyperlink" Target="https://youtu.be/Uo5sNWGrFQ8" TargetMode="External"/><Relationship Id="rId2" Type="http://schemas.openxmlformats.org/officeDocument/2006/relationships/hyperlink" Target="https://youtu.be/DMOGnGokm4c" TargetMode="External"/><Relationship Id="rId1" Type="http://schemas.openxmlformats.org/officeDocument/2006/relationships/hyperlink" Target="https://youtu.be/ZsSYbAy2Ez8" TargetMode="External"/><Relationship Id="rId6" Type="http://schemas.openxmlformats.org/officeDocument/2006/relationships/hyperlink" Target="https://youtu.be/YGITWOibh10" TargetMode="External"/><Relationship Id="rId5" Type="http://schemas.openxmlformats.org/officeDocument/2006/relationships/hyperlink" Target="https://youtu.be/YXR0tMXhno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youtu.be/oQVd-gXMQ6I" TargetMode="External"/><Relationship Id="rId9" Type="http://schemas.openxmlformats.org/officeDocument/2006/relationships/hyperlink" Target="https://youtu.be/YPCtgD0KnG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phatht.a2.2124@gmail.com" TargetMode="External"/><Relationship Id="rId7" Type="http://schemas.openxmlformats.org/officeDocument/2006/relationships/hyperlink" Target="mailto:minhduct50@gmail.com" TargetMode="External"/><Relationship Id="rId2" Type="http://schemas.openxmlformats.org/officeDocument/2006/relationships/hyperlink" Target="mailto:truongpd.a2.2124@gmail.com" TargetMode="External"/><Relationship Id="rId1" Type="http://schemas.openxmlformats.org/officeDocument/2006/relationships/hyperlink" Target="mailto:mlanhmlanh214@gmail.com" TargetMode="External"/><Relationship Id="rId6" Type="http://schemas.openxmlformats.org/officeDocument/2006/relationships/hyperlink" Target="mailto:thuylp.a2.2124@gmail.com" TargetMode="External"/><Relationship Id="rId5" Type="http://schemas.openxmlformats.org/officeDocument/2006/relationships/hyperlink" Target="mailto:thaontt.a2.2124@gmail.com" TargetMode="External"/><Relationship Id="rId4" Type="http://schemas.openxmlformats.org/officeDocument/2006/relationships/hyperlink" Target="mailto:thyvv.a2.2124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tppdt@" TargetMode="External"/><Relationship Id="rId7" Type="http://schemas.openxmlformats.org/officeDocument/2006/relationships/hyperlink" Target="mailto:tpntht@" TargetMode="External"/><Relationship Id="rId2" Type="http://schemas.openxmlformats.org/officeDocument/2006/relationships/hyperlink" Target="mailto:tptmd@" TargetMode="External"/><Relationship Id="rId1" Type="http://schemas.openxmlformats.org/officeDocument/2006/relationships/hyperlink" Target="mailto:tpnma@" TargetMode="External"/><Relationship Id="rId6" Type="http://schemas.openxmlformats.org/officeDocument/2006/relationships/hyperlink" Target="mailto:tplpt@" TargetMode="External"/><Relationship Id="rId5" Type="http://schemas.openxmlformats.org/officeDocument/2006/relationships/hyperlink" Target="mailto:tpvvt@" TargetMode="External"/><Relationship Id="rId4" Type="http://schemas.openxmlformats.org/officeDocument/2006/relationships/hyperlink" Target="mailto:tphtp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CE34-ECB9-4A61-9147-3878E4574496}">
  <dimension ref="A1:K11"/>
  <sheetViews>
    <sheetView topLeftCell="K1" zoomScaleNormal="100" workbookViewId="0">
      <selection activeCell="K8" sqref="K8"/>
    </sheetView>
  </sheetViews>
  <sheetFormatPr defaultRowHeight="14.5" x14ac:dyDescent="0.35"/>
  <cols>
    <col min="1" max="1" width="2.90625" style="11" bestFit="1" customWidth="1"/>
    <col min="2" max="2" width="32.54296875" style="11" bestFit="1" customWidth="1"/>
    <col min="3" max="3" width="38.453125" style="11" bestFit="1" customWidth="1"/>
    <col min="4" max="4" width="5.26953125" style="11" bestFit="1" customWidth="1"/>
    <col min="5" max="5" width="11.453125" style="11" bestFit="1" customWidth="1"/>
    <col min="6" max="6" width="23" style="11" bestFit="1" customWidth="1"/>
    <col min="7" max="7" width="43.90625" style="11" bestFit="1" customWidth="1"/>
    <col min="8" max="8" width="8" style="11" bestFit="1" customWidth="1"/>
    <col min="9" max="9" width="6.54296875" style="11" bestFit="1" customWidth="1"/>
    <col min="10" max="10" width="29.453125" style="11" bestFit="1" customWidth="1"/>
    <col min="11" max="11" width="100.54296875" style="11" bestFit="1" customWidth="1"/>
    <col min="12" max="16384" width="8.7265625" style="11"/>
  </cols>
  <sheetData>
    <row r="1" spans="1:11" s="16" customFormat="1" x14ac:dyDescent="0.35">
      <c r="A1" s="16" t="s">
        <v>96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16" t="s">
        <v>101</v>
      </c>
    </row>
    <row r="2" spans="1:11" x14ac:dyDescent="0.35">
      <c r="A2" s="11">
        <v>1</v>
      </c>
      <c r="B2" s="3" t="s">
        <v>46</v>
      </c>
      <c r="C2" s="4" t="s">
        <v>48</v>
      </c>
      <c r="D2" s="4" t="s">
        <v>49</v>
      </c>
      <c r="E2" s="5">
        <v>45940</v>
      </c>
      <c r="F2" s="4" t="s">
        <v>47</v>
      </c>
      <c r="G2" s="4" t="s">
        <v>100</v>
      </c>
      <c r="H2" s="2">
        <v>104</v>
      </c>
      <c r="I2" s="2" t="s">
        <v>110</v>
      </c>
      <c r="J2" s="8" t="s">
        <v>50</v>
      </c>
      <c r="K2" s="18" t="s">
        <v>164</v>
      </c>
    </row>
    <row r="3" spans="1:11" x14ac:dyDescent="0.35">
      <c r="A3" s="11">
        <v>2</v>
      </c>
      <c r="B3" s="3" t="s">
        <v>51</v>
      </c>
      <c r="C3" s="4" t="s">
        <v>53</v>
      </c>
      <c r="D3" s="4" t="s">
        <v>55</v>
      </c>
      <c r="E3" s="2" t="s">
        <v>54</v>
      </c>
      <c r="F3" s="4" t="s">
        <v>52</v>
      </c>
      <c r="G3" s="4" t="s">
        <v>99</v>
      </c>
      <c r="H3" s="4" t="s">
        <v>56</v>
      </c>
      <c r="I3" s="2"/>
      <c r="J3" s="8" t="s">
        <v>57</v>
      </c>
      <c r="K3" s="18" t="s">
        <v>165</v>
      </c>
    </row>
    <row r="4" spans="1:11" x14ac:dyDescent="0.35">
      <c r="A4" s="11">
        <v>3</v>
      </c>
      <c r="B4" s="3" t="s">
        <v>58</v>
      </c>
      <c r="C4" s="4" t="s">
        <v>59</v>
      </c>
      <c r="D4" s="4" t="s">
        <v>49</v>
      </c>
      <c r="E4" s="4" t="s">
        <v>60</v>
      </c>
      <c r="F4" s="4" t="s">
        <v>61</v>
      </c>
      <c r="G4" s="4" t="s">
        <v>62</v>
      </c>
      <c r="H4" s="2">
        <v>118</v>
      </c>
      <c r="I4" s="4" t="s">
        <v>63</v>
      </c>
      <c r="J4" s="8" t="s">
        <v>64</v>
      </c>
      <c r="K4" s="18" t="s">
        <v>166</v>
      </c>
    </row>
    <row r="5" spans="1:11" x14ac:dyDescent="0.35">
      <c r="A5" s="11">
        <v>4</v>
      </c>
      <c r="B5" s="3" t="s">
        <v>65</v>
      </c>
      <c r="C5" s="4" t="s">
        <v>48</v>
      </c>
      <c r="D5" s="4" t="s">
        <v>66</v>
      </c>
      <c r="E5" s="5">
        <v>46000</v>
      </c>
      <c r="F5" s="4" t="s">
        <v>67</v>
      </c>
      <c r="G5" s="4" t="s">
        <v>94</v>
      </c>
      <c r="H5" s="2">
        <v>136</v>
      </c>
      <c r="I5" s="2"/>
      <c r="J5" s="8" t="s">
        <v>68</v>
      </c>
      <c r="K5" s="18" t="s">
        <v>167</v>
      </c>
    </row>
    <row r="6" spans="1:11" x14ac:dyDescent="0.35">
      <c r="A6" s="11">
        <v>5</v>
      </c>
      <c r="B6" s="3" t="s">
        <v>69</v>
      </c>
      <c r="C6" s="4" t="s">
        <v>70</v>
      </c>
      <c r="D6" s="4" t="s">
        <v>71</v>
      </c>
      <c r="E6" s="4" t="s">
        <v>72</v>
      </c>
      <c r="F6" s="4" t="s">
        <v>73</v>
      </c>
      <c r="G6" s="4" t="s">
        <v>94</v>
      </c>
      <c r="H6" s="4">
        <v>118</v>
      </c>
      <c r="I6" s="4" t="s">
        <v>110</v>
      </c>
      <c r="J6" s="8" t="s">
        <v>74</v>
      </c>
      <c r="K6" s="18" t="s">
        <v>168</v>
      </c>
    </row>
    <row r="7" spans="1:11" x14ac:dyDescent="0.35">
      <c r="A7" s="11">
        <v>6</v>
      </c>
      <c r="B7" s="3" t="s">
        <v>75</v>
      </c>
      <c r="C7" s="4" t="s">
        <v>48</v>
      </c>
      <c r="D7" s="4" t="s">
        <v>49</v>
      </c>
      <c r="E7" s="4" t="s">
        <v>76</v>
      </c>
      <c r="F7" s="4" t="s">
        <v>77</v>
      </c>
      <c r="G7" s="4" t="s">
        <v>98</v>
      </c>
      <c r="H7" s="2">
        <v>95</v>
      </c>
      <c r="I7" s="2"/>
      <c r="J7" s="8" t="s">
        <v>78</v>
      </c>
      <c r="K7" s="18" t="s">
        <v>172</v>
      </c>
    </row>
    <row r="8" spans="1:11" x14ac:dyDescent="0.35">
      <c r="A8" s="11">
        <v>7</v>
      </c>
      <c r="B8" s="19" t="s">
        <v>184</v>
      </c>
      <c r="C8" s="4" t="s">
        <v>48</v>
      </c>
      <c r="D8" s="4" t="s">
        <v>79</v>
      </c>
      <c r="E8" s="20">
        <v>45849</v>
      </c>
      <c r="F8" s="18" t="s">
        <v>185</v>
      </c>
      <c r="G8" s="18" t="s">
        <v>188</v>
      </c>
      <c r="H8" s="2">
        <v>98</v>
      </c>
      <c r="I8" s="2"/>
      <c r="J8" s="17" t="s">
        <v>186</v>
      </c>
      <c r="K8" s="18" t="s">
        <v>187</v>
      </c>
    </row>
    <row r="9" spans="1:11" x14ac:dyDescent="0.35">
      <c r="A9" s="11">
        <v>8</v>
      </c>
      <c r="B9" s="3" t="s">
        <v>80</v>
      </c>
      <c r="C9" s="4" t="s">
        <v>81</v>
      </c>
      <c r="D9" s="4" t="s">
        <v>71</v>
      </c>
      <c r="E9" s="4" t="s">
        <v>82</v>
      </c>
      <c r="F9" s="4" t="s">
        <v>83</v>
      </c>
      <c r="G9" s="4" t="s">
        <v>97</v>
      </c>
      <c r="H9" s="2">
        <v>119</v>
      </c>
      <c r="I9" s="2"/>
      <c r="J9" s="8" t="s">
        <v>84</v>
      </c>
      <c r="K9" s="18" t="s">
        <v>169</v>
      </c>
    </row>
    <row r="10" spans="1:11" x14ac:dyDescent="0.35">
      <c r="A10" s="11">
        <v>9</v>
      </c>
      <c r="B10" s="3" t="s">
        <v>85</v>
      </c>
      <c r="C10" s="4" t="s">
        <v>88</v>
      </c>
      <c r="D10" s="2"/>
      <c r="E10" s="4" t="s">
        <v>87</v>
      </c>
      <c r="F10" s="4" t="s">
        <v>86</v>
      </c>
      <c r="G10" s="2"/>
      <c r="H10" s="2"/>
      <c r="I10" s="2"/>
      <c r="J10" s="8" t="s">
        <v>89</v>
      </c>
      <c r="K10" s="18" t="s">
        <v>171</v>
      </c>
    </row>
    <row r="11" spans="1:11" x14ac:dyDescent="0.35">
      <c r="A11" s="11">
        <v>10</v>
      </c>
      <c r="B11" s="3" t="s">
        <v>90</v>
      </c>
      <c r="C11" s="4" t="s">
        <v>92</v>
      </c>
      <c r="D11" s="2"/>
      <c r="E11" s="4" t="s">
        <v>93</v>
      </c>
      <c r="F11" s="4" t="s">
        <v>91</v>
      </c>
      <c r="G11" s="4" t="s">
        <v>94</v>
      </c>
      <c r="H11" s="2"/>
      <c r="I11" s="2"/>
      <c r="J11" s="8" t="s">
        <v>95</v>
      </c>
      <c r="K11" s="18" t="s">
        <v>170</v>
      </c>
    </row>
  </sheetData>
  <hyperlinks>
    <hyperlink ref="J3" r:id="rId1" xr:uid="{D4680EBB-EE42-4983-8612-4321FF8F1240}"/>
    <hyperlink ref="J2" r:id="rId2" xr:uid="{76CA3A90-BFFA-4D7D-9951-28A7B461341B}"/>
    <hyperlink ref="J5" r:id="rId3" xr:uid="{5FB1B7A9-846A-497E-9B1A-0A9B47F46A36}"/>
    <hyperlink ref="J6" r:id="rId4" xr:uid="{206D9201-55A8-4B14-88F3-0D2B86530255}"/>
    <hyperlink ref="J7" r:id="rId5" xr:uid="{1ECED828-5C51-4C7D-89D3-E3BA824D633B}"/>
    <hyperlink ref="J10" r:id="rId6" xr:uid="{931CBE32-E48B-4ED2-83E1-523554037A14}"/>
    <hyperlink ref="J11" r:id="rId7" xr:uid="{0CE60C79-172B-4CF2-A6A5-572DA949828E}"/>
    <hyperlink ref="J8" r:id="rId8" xr:uid="{D1C92A4D-CFB7-4191-B1FA-A099167F870F}"/>
    <hyperlink ref="J9" r:id="rId9" xr:uid="{BE4B0BBB-2107-471E-91B1-7DD58C881B94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7C5C-D31D-4D0B-8F0E-95A94197B1D7}">
  <dimension ref="A1:C6"/>
  <sheetViews>
    <sheetView zoomScale="130" zoomScaleNormal="130" workbookViewId="0">
      <selection activeCell="B6" sqref="B6"/>
    </sheetView>
  </sheetViews>
  <sheetFormatPr defaultRowHeight="14.5" x14ac:dyDescent="0.35"/>
  <cols>
    <col min="1" max="1" width="2.54296875" bestFit="1" customWidth="1"/>
    <col min="2" max="2" width="12.08984375" bestFit="1" customWidth="1"/>
    <col min="3" max="3" width="105.81640625" bestFit="1" customWidth="1"/>
  </cols>
  <sheetData>
    <row r="1" spans="1:3" s="7" customFormat="1" x14ac:dyDescent="0.35">
      <c r="A1" s="10" t="s">
        <v>96</v>
      </c>
      <c r="B1" s="10" t="s">
        <v>9</v>
      </c>
      <c r="C1" s="10" t="s">
        <v>11</v>
      </c>
    </row>
    <row r="2" spans="1:3" x14ac:dyDescent="0.35">
      <c r="A2" s="9">
        <v>1</v>
      </c>
      <c r="B2" s="9" t="s">
        <v>106</v>
      </c>
      <c r="C2" s="9" t="s">
        <v>102</v>
      </c>
    </row>
    <row r="3" spans="1:3" x14ac:dyDescent="0.35">
      <c r="A3" s="9">
        <v>2</v>
      </c>
      <c r="B3" s="9" t="s">
        <v>105</v>
      </c>
      <c r="C3" s="9" t="s">
        <v>104</v>
      </c>
    </row>
    <row r="4" spans="1:3" x14ac:dyDescent="0.35">
      <c r="A4" s="9">
        <v>3</v>
      </c>
      <c r="B4" s="9" t="s">
        <v>107</v>
      </c>
      <c r="C4" s="9" t="s">
        <v>109</v>
      </c>
    </row>
    <row r="5" spans="1:3" x14ac:dyDescent="0.35">
      <c r="A5" s="9">
        <v>4</v>
      </c>
      <c r="B5" s="9" t="s">
        <v>108</v>
      </c>
      <c r="C5" s="9" t="s">
        <v>103</v>
      </c>
    </row>
    <row r="6" spans="1:3" x14ac:dyDescent="0.35">
      <c r="A6" s="9">
        <v>5</v>
      </c>
      <c r="B6" s="9"/>
      <c r="C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A546-C17F-4306-B513-4D44EE24DE6C}">
  <dimension ref="A1:F21"/>
  <sheetViews>
    <sheetView zoomScale="130" zoomScaleNormal="130" workbookViewId="0">
      <selection activeCell="E3" sqref="E3"/>
    </sheetView>
  </sheetViews>
  <sheetFormatPr defaultRowHeight="14.5" x14ac:dyDescent="0.35"/>
  <cols>
    <col min="4" max="4" width="11.90625" bestFit="1" customWidth="1"/>
  </cols>
  <sheetData>
    <row r="1" spans="1:6" x14ac:dyDescent="0.35">
      <c r="A1" t="s">
        <v>96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5">
      <c r="A2">
        <v>1</v>
      </c>
      <c r="B2">
        <v>1</v>
      </c>
    </row>
    <row r="3" spans="1:6" x14ac:dyDescent="0.35">
      <c r="A3">
        <v>2</v>
      </c>
      <c r="B3">
        <v>2</v>
      </c>
    </row>
    <row r="4" spans="1:6" x14ac:dyDescent="0.35">
      <c r="A4">
        <v>3</v>
      </c>
      <c r="B4">
        <v>3</v>
      </c>
    </row>
    <row r="5" spans="1:6" x14ac:dyDescent="0.35">
      <c r="A5">
        <v>4</v>
      </c>
      <c r="B5">
        <v>4</v>
      </c>
    </row>
    <row r="6" spans="1:6" x14ac:dyDescent="0.35">
      <c r="A6">
        <v>5</v>
      </c>
      <c r="B6">
        <v>1</v>
      </c>
    </row>
    <row r="7" spans="1:6" x14ac:dyDescent="0.35">
      <c r="A7">
        <v>6</v>
      </c>
      <c r="B7">
        <v>2</v>
      </c>
    </row>
    <row r="8" spans="1:6" x14ac:dyDescent="0.35">
      <c r="A8">
        <v>7</v>
      </c>
      <c r="B8">
        <v>3</v>
      </c>
    </row>
    <row r="9" spans="1:6" x14ac:dyDescent="0.35">
      <c r="A9">
        <v>8</v>
      </c>
      <c r="B9">
        <v>1</v>
      </c>
    </row>
    <row r="10" spans="1:6" x14ac:dyDescent="0.35">
      <c r="A10">
        <v>9</v>
      </c>
      <c r="B10">
        <v>2</v>
      </c>
    </row>
    <row r="11" spans="1:6" x14ac:dyDescent="0.35">
      <c r="A11">
        <v>10</v>
      </c>
      <c r="B11">
        <v>3</v>
      </c>
    </row>
    <row r="12" spans="1:6" x14ac:dyDescent="0.35">
      <c r="A12">
        <v>11</v>
      </c>
      <c r="B12">
        <v>1</v>
      </c>
    </row>
    <row r="13" spans="1:6" x14ac:dyDescent="0.35">
      <c r="A13">
        <v>12</v>
      </c>
      <c r="B13">
        <v>2</v>
      </c>
    </row>
    <row r="14" spans="1:6" x14ac:dyDescent="0.35">
      <c r="A14">
        <v>13</v>
      </c>
      <c r="B14">
        <v>3</v>
      </c>
    </row>
    <row r="15" spans="1:6" x14ac:dyDescent="0.35">
      <c r="A15">
        <v>14</v>
      </c>
      <c r="B15">
        <v>4</v>
      </c>
    </row>
    <row r="16" spans="1:6" x14ac:dyDescent="0.35">
      <c r="A16">
        <v>15</v>
      </c>
      <c r="B16">
        <v>1</v>
      </c>
    </row>
    <row r="17" spans="1:2" x14ac:dyDescent="0.35">
      <c r="A17">
        <v>16</v>
      </c>
      <c r="B17">
        <v>2</v>
      </c>
    </row>
    <row r="18" spans="1:2" x14ac:dyDescent="0.35">
      <c r="A18">
        <v>17</v>
      </c>
      <c r="B18">
        <v>3</v>
      </c>
    </row>
    <row r="19" spans="1:2" x14ac:dyDescent="0.35">
      <c r="A19">
        <v>18</v>
      </c>
      <c r="B19">
        <v>4</v>
      </c>
    </row>
    <row r="20" spans="1:2" x14ac:dyDescent="0.35">
      <c r="A20">
        <v>19</v>
      </c>
      <c r="B20">
        <v>5</v>
      </c>
    </row>
    <row r="21" spans="1:2" x14ac:dyDescent="0.35">
      <c r="A21">
        <v>20</v>
      </c>
      <c r="B2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C45A-0E1C-4B96-B5C6-16961647AD7C}">
  <dimension ref="A1:E1"/>
  <sheetViews>
    <sheetView zoomScale="130" zoomScaleNormal="130" workbookViewId="0">
      <selection activeCell="B2" sqref="B2"/>
    </sheetView>
  </sheetViews>
  <sheetFormatPr defaultRowHeight="14.5" x14ac:dyDescent="0.35"/>
  <sheetData>
    <row r="1" spans="1:5" x14ac:dyDescent="0.35">
      <c r="A1" t="s">
        <v>96</v>
      </c>
      <c r="B1" t="s">
        <v>17</v>
      </c>
      <c r="C1" t="s">
        <v>12</v>
      </c>
      <c r="D1" t="s">
        <v>15</v>
      </c>
      <c r="E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7C6E-015B-4C98-AA0C-5F1E03F281FF}">
  <dimension ref="A1:E1"/>
  <sheetViews>
    <sheetView zoomScale="130" zoomScaleNormal="130" workbookViewId="0">
      <selection activeCell="A2" sqref="A2"/>
    </sheetView>
  </sheetViews>
  <sheetFormatPr defaultRowHeight="14.5" x14ac:dyDescent="0.35"/>
  <cols>
    <col min="4" max="4" width="12.6328125" bestFit="1" customWidth="1"/>
    <col min="5" max="5" width="11.1796875" bestFit="1" customWidth="1"/>
  </cols>
  <sheetData>
    <row r="1" spans="1:5" x14ac:dyDescent="0.35">
      <c r="A1" t="s">
        <v>96</v>
      </c>
      <c r="B1" t="s">
        <v>9</v>
      </c>
      <c r="C1" t="s">
        <v>19</v>
      </c>
      <c r="D1" t="s">
        <v>20</v>
      </c>
      <c r="E1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2B28-5C9A-4FD1-9513-1298E635070B}">
  <dimension ref="A1:E7"/>
  <sheetViews>
    <sheetView zoomScale="130" zoomScaleNormal="130" workbookViewId="0">
      <selection activeCell="E2" sqref="E2:E5"/>
    </sheetView>
  </sheetViews>
  <sheetFormatPr defaultRowHeight="14.5" x14ac:dyDescent="0.35"/>
  <cols>
    <col min="2" max="2" width="12.36328125" bestFit="1" customWidth="1"/>
    <col min="3" max="3" width="11.7265625" bestFit="1" customWidth="1"/>
  </cols>
  <sheetData>
    <row r="1" spans="1:5" x14ac:dyDescent="0.35">
      <c r="A1" t="s">
        <v>96</v>
      </c>
      <c r="B1" t="s">
        <v>22</v>
      </c>
      <c r="C1" t="s">
        <v>23</v>
      </c>
    </row>
    <row r="2" spans="1:5" x14ac:dyDescent="0.35">
      <c r="A2">
        <v>1</v>
      </c>
      <c r="B2" s="15" t="s">
        <v>173</v>
      </c>
      <c r="C2" s="15" t="s">
        <v>174</v>
      </c>
      <c r="E2" s="14" t="str">
        <f>"INSERT INTO dbo.Shift_Schedule VALUES('"&amp;B2&amp;"', '"&amp;C2&amp;"');"</f>
        <v>INSERT INTO dbo.Shift_Schedule VALUES('7:30:00', '12:30:00');</v>
      </c>
    </row>
    <row r="3" spans="1:5" x14ac:dyDescent="0.35">
      <c r="A3">
        <v>2</v>
      </c>
      <c r="B3" s="15" t="s">
        <v>174</v>
      </c>
      <c r="C3" s="15" t="s">
        <v>175</v>
      </c>
      <c r="E3" s="14" t="str">
        <f t="shared" ref="E3:E5" si="0">"INSERT INTO dbo.Shift_Schedule VALUES('"&amp;B3&amp;"', '"&amp;C3&amp;"');"</f>
        <v>INSERT INTO dbo.Shift_Schedule VALUES('12:30:00', '17:30:00');</v>
      </c>
    </row>
    <row r="4" spans="1:5" x14ac:dyDescent="0.35">
      <c r="A4">
        <v>3</v>
      </c>
      <c r="B4" s="15" t="s">
        <v>175</v>
      </c>
      <c r="C4" s="15" t="s">
        <v>176</v>
      </c>
      <c r="E4" s="14" t="str">
        <f t="shared" si="0"/>
        <v>INSERT INTO dbo.Shift_Schedule VALUES('17:30:00', '22:30:00');</v>
      </c>
    </row>
    <row r="5" spans="1:5" x14ac:dyDescent="0.35">
      <c r="A5">
        <v>4</v>
      </c>
      <c r="B5" s="15" t="s">
        <v>176</v>
      </c>
      <c r="C5" s="15" t="s">
        <v>177</v>
      </c>
      <c r="E5" s="14" t="str">
        <f t="shared" si="0"/>
        <v>INSERT INTO dbo.Shift_Schedule VALUES('22:30:00', '2:30:00');</v>
      </c>
    </row>
    <row r="7" spans="1:5" x14ac:dyDescent="0.35">
      <c r="B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C545-3A1C-4A65-85EA-5A0B149575F3}">
  <dimension ref="A1:G8"/>
  <sheetViews>
    <sheetView zoomScale="130" zoomScaleNormal="130" workbookViewId="0">
      <selection activeCell="G2" sqref="G2:G8"/>
    </sheetView>
  </sheetViews>
  <sheetFormatPr defaultRowHeight="14.5" x14ac:dyDescent="0.35"/>
  <cols>
    <col min="2" max="2" width="21" bestFit="1" customWidth="1"/>
    <col min="3" max="3" width="17.1796875" bestFit="1" customWidth="1"/>
    <col min="4" max="4" width="24.81640625" bestFit="1" customWidth="1"/>
    <col min="5" max="5" width="13.54296875" bestFit="1" customWidth="1"/>
  </cols>
  <sheetData>
    <row r="1" spans="1:7" x14ac:dyDescent="0.35">
      <c r="A1" t="s">
        <v>96</v>
      </c>
      <c r="B1" t="s">
        <v>9</v>
      </c>
      <c r="C1" t="s">
        <v>24</v>
      </c>
      <c r="D1" t="s">
        <v>25</v>
      </c>
      <c r="E1" t="s">
        <v>26</v>
      </c>
    </row>
    <row r="2" spans="1:7" x14ac:dyDescent="0.35">
      <c r="A2">
        <v>1</v>
      </c>
      <c r="B2" t="s">
        <v>133</v>
      </c>
      <c r="C2" t="s">
        <v>134</v>
      </c>
      <c r="D2" s="1" t="s">
        <v>157</v>
      </c>
      <c r="E2">
        <v>1</v>
      </c>
      <c r="G2" t="str">
        <f>"INSERT INTO dbo.Staff VALUES('"&amp;B2&amp;"', '"&amp;C2&amp;"', '"&amp;D2&amp;"', '"&amp;E2&amp;"');"</f>
        <v>INSERT INTO dbo.Staff VALUES('Nguyễn Minh Anh', 'Giám đốc marketing', 'mlanhmlanh214@gmail.com', '1');</v>
      </c>
    </row>
    <row r="3" spans="1:7" x14ac:dyDescent="0.35">
      <c r="A3">
        <v>2</v>
      </c>
      <c r="B3" t="s">
        <v>135</v>
      </c>
      <c r="C3" t="s">
        <v>136</v>
      </c>
      <c r="D3" s="1" t="s">
        <v>163</v>
      </c>
      <c r="E3">
        <v>1</v>
      </c>
      <c r="G3" t="str">
        <f t="shared" ref="G3:G8" si="0">"INSERT INTO dbo.Staff VALUES('"&amp;B3&amp;"', '"&amp;C3&amp;"', '"&amp;D3&amp;"', '"&amp;E3&amp;"');"</f>
        <v>INSERT INTO dbo.Staff VALUES('Trần Minh Đức', 'Nhân viên', 'minhduct50@gmail.com', '1');</v>
      </c>
    </row>
    <row r="4" spans="1:7" x14ac:dyDescent="0.35">
      <c r="A4">
        <v>3</v>
      </c>
      <c r="B4" t="s">
        <v>137</v>
      </c>
      <c r="C4" t="s">
        <v>138</v>
      </c>
      <c r="D4" s="1" t="s">
        <v>158</v>
      </c>
      <c r="E4">
        <v>1</v>
      </c>
      <c r="G4" t="str">
        <f t="shared" si="0"/>
        <v>INSERT INTO dbo.Staff VALUES('Phạm Đan Trường', 'Quản lý', 'truongpd.a2.2124@gmail.com', '1');</v>
      </c>
    </row>
    <row r="5" spans="1:7" x14ac:dyDescent="0.35">
      <c r="A5">
        <v>4</v>
      </c>
      <c r="B5" t="s">
        <v>139</v>
      </c>
      <c r="C5" t="s">
        <v>138</v>
      </c>
      <c r="D5" s="1" t="s">
        <v>159</v>
      </c>
      <c r="E5">
        <v>3</v>
      </c>
      <c r="G5" t="str">
        <f t="shared" si="0"/>
        <v>INSERT INTO dbo.Staff VALUES('Hồ Thịnh Phát', 'Quản lý', 'phatht.a2.2124@gmail.com', '3');</v>
      </c>
    </row>
    <row r="6" spans="1:7" x14ac:dyDescent="0.35">
      <c r="A6">
        <v>5</v>
      </c>
      <c r="B6" t="s">
        <v>140</v>
      </c>
      <c r="C6" t="s">
        <v>136</v>
      </c>
      <c r="D6" s="1" t="s">
        <v>160</v>
      </c>
      <c r="E6">
        <v>2</v>
      </c>
      <c r="G6" t="str">
        <f t="shared" si="0"/>
        <v>INSERT INTO dbo.Staff VALUES('Võ Việt Thy', 'Nhân viên', 'thyvv.a2.2124@gmail.com', '2');</v>
      </c>
    </row>
    <row r="7" spans="1:7" x14ac:dyDescent="0.35">
      <c r="A7">
        <v>6</v>
      </c>
      <c r="B7" t="s">
        <v>141</v>
      </c>
      <c r="C7" t="s">
        <v>136</v>
      </c>
      <c r="D7" s="1" t="s">
        <v>162</v>
      </c>
      <c r="E7">
        <v>3</v>
      </c>
      <c r="G7" t="str">
        <f t="shared" si="0"/>
        <v>INSERT INTO dbo.Staff VALUES('Lê Phương Thúy', 'Nhân viên', 'thuylp.a2.2124@gmail.com', '3');</v>
      </c>
    </row>
    <row r="8" spans="1:7" x14ac:dyDescent="0.35">
      <c r="A8">
        <v>7</v>
      </c>
      <c r="B8" t="s">
        <v>142</v>
      </c>
      <c r="C8" t="s">
        <v>136</v>
      </c>
      <c r="D8" s="1" t="s">
        <v>161</v>
      </c>
      <c r="E8">
        <v>4</v>
      </c>
      <c r="G8" t="str">
        <f t="shared" si="0"/>
        <v>INSERT INTO dbo.Staff VALUES('Nguyễn Thanh Hiếu Thảo', 'Nhân viên', 'thaontt.a2.2124@gmail.com', '4');</v>
      </c>
    </row>
  </sheetData>
  <hyperlinks>
    <hyperlink ref="D2" r:id="rId1" xr:uid="{F3E7533A-02B4-484D-96C2-475A50CFE049}"/>
    <hyperlink ref="D4" r:id="rId2" xr:uid="{B2821ED4-410A-42F9-9368-54B57E9EA115}"/>
    <hyperlink ref="D5" r:id="rId3" xr:uid="{FDA48BD5-7C24-42BF-801A-53FB6D68C7BF}"/>
    <hyperlink ref="D6" r:id="rId4" xr:uid="{BF8062DD-5B66-456B-8764-C1F984814B4E}"/>
    <hyperlink ref="D8" r:id="rId5" xr:uid="{87E80BC9-947A-4AA8-BB6D-7CBD5DB342D5}"/>
    <hyperlink ref="D7" r:id="rId6" xr:uid="{D7E0BB23-B4D8-49D1-A678-302148AAC2F2}"/>
    <hyperlink ref="D3" r:id="rId7" xr:uid="{D946F125-4DEC-4F2C-879D-642F76CC454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DDEC-2C27-4D76-B8E2-D224C508B564}">
  <dimension ref="A1:E26"/>
  <sheetViews>
    <sheetView tabSelected="1" zoomScale="130" zoomScaleNormal="130" workbookViewId="0">
      <selection activeCell="H21" sqref="H21"/>
    </sheetView>
  </sheetViews>
  <sheetFormatPr defaultRowHeight="14.5" x14ac:dyDescent="0.35"/>
  <cols>
    <col min="1" max="1" width="2.90625" style="12" bestFit="1" customWidth="1"/>
    <col min="2" max="2" width="23.90625" style="12" bestFit="1" customWidth="1"/>
    <col min="3" max="4" width="8.7265625" style="12"/>
    <col min="5" max="5" width="9.36328125" style="12" bestFit="1" customWidth="1"/>
    <col min="6" max="16384" width="8.7265625" style="12"/>
  </cols>
  <sheetData>
    <row r="1" spans="1:5" s="6" customFormat="1" x14ac:dyDescent="0.35">
      <c r="A1" s="6" t="s">
        <v>96</v>
      </c>
      <c r="B1" s="6" t="s">
        <v>9</v>
      </c>
      <c r="C1" s="6" t="s">
        <v>27</v>
      </c>
      <c r="D1" s="6" t="s">
        <v>28</v>
      </c>
      <c r="E1" s="6" t="s">
        <v>29</v>
      </c>
    </row>
    <row r="2" spans="1:5" x14ac:dyDescent="0.35">
      <c r="A2" s="12">
        <v>1</v>
      </c>
      <c r="B2" s="12" t="s">
        <v>111</v>
      </c>
      <c r="C2" s="12">
        <v>55000</v>
      </c>
      <c r="D2" s="12">
        <v>100</v>
      </c>
      <c r="E2" s="12" t="s">
        <v>131</v>
      </c>
    </row>
    <row r="3" spans="1:5" x14ac:dyDescent="0.35">
      <c r="A3" s="12">
        <v>2</v>
      </c>
      <c r="B3" s="12" t="s">
        <v>112</v>
      </c>
      <c r="C3" s="12">
        <v>59000</v>
      </c>
      <c r="D3" s="12">
        <v>100</v>
      </c>
      <c r="E3" s="12" t="s">
        <v>131</v>
      </c>
    </row>
    <row r="4" spans="1:5" x14ac:dyDescent="0.35">
      <c r="A4" s="12">
        <v>3</v>
      </c>
      <c r="B4" s="12" t="s">
        <v>113</v>
      </c>
      <c r="C4" s="12">
        <v>59000</v>
      </c>
      <c r="D4" s="12">
        <v>100</v>
      </c>
      <c r="E4" s="12" t="s">
        <v>131</v>
      </c>
    </row>
    <row r="5" spans="1:5" x14ac:dyDescent="0.35">
      <c r="A5" s="12">
        <v>4</v>
      </c>
      <c r="B5" s="12" t="s">
        <v>117</v>
      </c>
      <c r="C5" s="12">
        <v>39000</v>
      </c>
      <c r="D5" s="12">
        <v>100</v>
      </c>
      <c r="E5" s="12" t="s">
        <v>131</v>
      </c>
    </row>
    <row r="6" spans="1:5" x14ac:dyDescent="0.35">
      <c r="A6" s="12">
        <v>5</v>
      </c>
      <c r="B6" s="12" t="s">
        <v>118</v>
      </c>
      <c r="C6" s="12">
        <v>19000</v>
      </c>
      <c r="D6" s="12">
        <v>100</v>
      </c>
      <c r="E6" s="12" t="s">
        <v>131</v>
      </c>
    </row>
    <row r="7" spans="1:5" x14ac:dyDescent="0.35">
      <c r="A7" s="12">
        <v>6</v>
      </c>
      <c r="B7" s="12" t="s">
        <v>119</v>
      </c>
      <c r="C7" s="12">
        <v>49000</v>
      </c>
      <c r="D7" s="12">
        <v>100</v>
      </c>
      <c r="E7" s="12" t="s">
        <v>131</v>
      </c>
    </row>
    <row r="8" spans="1:5" x14ac:dyDescent="0.35">
      <c r="A8" s="12">
        <v>7</v>
      </c>
      <c r="B8" s="12" t="s">
        <v>114</v>
      </c>
      <c r="C8" s="12">
        <v>39000</v>
      </c>
      <c r="D8" s="12">
        <v>100</v>
      </c>
      <c r="E8" s="12" t="s">
        <v>132</v>
      </c>
    </row>
    <row r="9" spans="1:5" x14ac:dyDescent="0.35">
      <c r="A9" s="12">
        <v>8</v>
      </c>
      <c r="B9" s="12" t="s">
        <v>115</v>
      </c>
      <c r="C9" s="12">
        <v>39000</v>
      </c>
      <c r="D9" s="12">
        <v>100</v>
      </c>
      <c r="E9" s="12" t="s">
        <v>132</v>
      </c>
    </row>
    <row r="10" spans="1:5" x14ac:dyDescent="0.35">
      <c r="A10" s="12">
        <v>9</v>
      </c>
      <c r="B10" s="12" t="s">
        <v>116</v>
      </c>
      <c r="C10" s="12">
        <v>39000</v>
      </c>
      <c r="D10" s="12">
        <v>100</v>
      </c>
      <c r="E10" s="12" t="s">
        <v>132</v>
      </c>
    </row>
    <row r="11" spans="1:5" x14ac:dyDescent="0.35">
      <c r="A11" s="12">
        <v>10</v>
      </c>
      <c r="B11" s="12" t="s">
        <v>120</v>
      </c>
      <c r="C11" s="12">
        <v>39000</v>
      </c>
      <c r="D11" s="12">
        <v>100</v>
      </c>
      <c r="E11" s="12" t="s">
        <v>132</v>
      </c>
    </row>
    <row r="12" spans="1:5" x14ac:dyDescent="0.35">
      <c r="A12" s="12">
        <v>11</v>
      </c>
      <c r="B12" s="12" t="s">
        <v>121</v>
      </c>
      <c r="C12" s="12">
        <v>49000</v>
      </c>
      <c r="D12" s="12">
        <v>100</v>
      </c>
      <c r="E12" s="12" t="s">
        <v>132</v>
      </c>
    </row>
    <row r="13" spans="1:5" x14ac:dyDescent="0.35">
      <c r="A13" s="12">
        <v>12</v>
      </c>
      <c r="B13" s="12" t="s">
        <v>122</v>
      </c>
      <c r="C13" s="12">
        <v>49000</v>
      </c>
      <c r="D13" s="12">
        <v>100</v>
      </c>
      <c r="E13" s="12" t="s">
        <v>132</v>
      </c>
    </row>
    <row r="14" spans="1:5" x14ac:dyDescent="0.35">
      <c r="A14" s="12">
        <v>13</v>
      </c>
      <c r="B14" s="12" t="s">
        <v>123</v>
      </c>
      <c r="C14" s="12">
        <v>39000</v>
      </c>
      <c r="D14" s="12">
        <v>100</v>
      </c>
      <c r="E14" s="12" t="s">
        <v>132</v>
      </c>
    </row>
    <row r="15" spans="1:5" x14ac:dyDescent="0.35">
      <c r="A15" s="12">
        <v>14</v>
      </c>
      <c r="B15" s="12" t="s">
        <v>124</v>
      </c>
      <c r="C15" s="12">
        <v>49000</v>
      </c>
      <c r="D15" s="12">
        <v>100</v>
      </c>
      <c r="E15" s="12" t="s">
        <v>132</v>
      </c>
    </row>
    <row r="16" spans="1:5" x14ac:dyDescent="0.35">
      <c r="A16" s="12">
        <v>15</v>
      </c>
      <c r="B16" s="12" t="s">
        <v>125</v>
      </c>
      <c r="C16" s="12">
        <v>25000</v>
      </c>
      <c r="D16" s="12">
        <v>100</v>
      </c>
      <c r="E16" s="12" t="s">
        <v>131</v>
      </c>
    </row>
    <row r="17" spans="1:5" x14ac:dyDescent="0.35">
      <c r="A17" s="12">
        <v>16</v>
      </c>
      <c r="B17" s="12" t="s">
        <v>126</v>
      </c>
      <c r="C17" s="12">
        <v>39000</v>
      </c>
      <c r="D17" s="12">
        <v>100</v>
      </c>
      <c r="E17" s="12" t="s">
        <v>131</v>
      </c>
    </row>
    <row r="18" spans="1:5" x14ac:dyDescent="0.35">
      <c r="A18" s="12">
        <v>17</v>
      </c>
      <c r="B18" s="12" t="s">
        <v>127</v>
      </c>
      <c r="C18" s="12">
        <v>55000</v>
      </c>
      <c r="D18" s="12">
        <v>100</v>
      </c>
      <c r="E18" s="12" t="s">
        <v>131</v>
      </c>
    </row>
    <row r="19" spans="1:5" x14ac:dyDescent="0.35">
      <c r="A19" s="12">
        <v>18</v>
      </c>
      <c r="B19" s="12" t="s">
        <v>128</v>
      </c>
      <c r="C19" s="12">
        <v>39000</v>
      </c>
      <c r="D19" s="12">
        <v>100</v>
      </c>
      <c r="E19" s="12" t="s">
        <v>131</v>
      </c>
    </row>
    <row r="20" spans="1:5" x14ac:dyDescent="0.35">
      <c r="A20" s="12">
        <v>19</v>
      </c>
      <c r="B20" s="12" t="s">
        <v>129</v>
      </c>
      <c r="C20" s="12">
        <v>39000</v>
      </c>
      <c r="D20" s="12">
        <v>100</v>
      </c>
      <c r="E20" s="12" t="s">
        <v>131</v>
      </c>
    </row>
    <row r="21" spans="1:5" x14ac:dyDescent="0.35">
      <c r="A21" s="12">
        <v>20</v>
      </c>
      <c r="B21" s="12" t="s">
        <v>130</v>
      </c>
      <c r="C21" s="12">
        <v>35000</v>
      </c>
      <c r="D21" s="12">
        <v>100</v>
      </c>
      <c r="E21" s="12" t="s">
        <v>131</v>
      </c>
    </row>
    <row r="22" spans="1:5" x14ac:dyDescent="0.35">
      <c r="A22" s="12">
        <v>21</v>
      </c>
      <c r="B22" s="12" t="s">
        <v>179</v>
      </c>
      <c r="C22" s="12">
        <v>49000</v>
      </c>
      <c r="D22" s="12">
        <v>100</v>
      </c>
      <c r="E22" s="12" t="s">
        <v>131</v>
      </c>
    </row>
    <row r="23" spans="1:5" x14ac:dyDescent="0.35">
      <c r="A23" s="12">
        <v>22</v>
      </c>
      <c r="B23" s="12" t="s">
        <v>180</v>
      </c>
      <c r="C23" s="12">
        <v>5000</v>
      </c>
      <c r="D23" s="12">
        <v>100</v>
      </c>
      <c r="E23" s="12" t="s">
        <v>131</v>
      </c>
    </row>
    <row r="24" spans="1:5" x14ac:dyDescent="0.35">
      <c r="A24" s="12">
        <v>23</v>
      </c>
      <c r="B24" s="12" t="s">
        <v>181</v>
      </c>
      <c r="C24" s="12">
        <v>59000</v>
      </c>
      <c r="D24" s="12">
        <v>100</v>
      </c>
      <c r="E24" s="12" t="s">
        <v>131</v>
      </c>
    </row>
    <row r="25" spans="1:5" x14ac:dyDescent="0.35">
      <c r="A25" s="12">
        <v>24</v>
      </c>
      <c r="B25" s="12" t="s">
        <v>182</v>
      </c>
      <c r="C25" s="12">
        <v>65000</v>
      </c>
      <c r="D25" s="12">
        <v>100</v>
      </c>
      <c r="E25" s="12" t="s">
        <v>131</v>
      </c>
    </row>
    <row r="26" spans="1:5" x14ac:dyDescent="0.35">
      <c r="A26" s="12">
        <v>25</v>
      </c>
      <c r="B26" s="12" t="s">
        <v>183</v>
      </c>
      <c r="C26" s="12">
        <v>65000</v>
      </c>
      <c r="D26" s="12">
        <v>100</v>
      </c>
      <c r="E26" s="1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BFAF-9DA8-4EDC-9279-5B2C28B4541B}">
  <dimension ref="A1:F1"/>
  <sheetViews>
    <sheetView zoomScale="130" zoomScaleNormal="130" workbookViewId="0">
      <selection activeCell="K17" sqref="K17"/>
    </sheetView>
  </sheetViews>
  <sheetFormatPr defaultRowHeight="14.5" x14ac:dyDescent="0.35"/>
  <sheetData>
    <row r="1" spans="1:6" x14ac:dyDescent="0.35">
      <c r="A1" t="s">
        <v>96</v>
      </c>
      <c r="B1" t="s">
        <v>10</v>
      </c>
      <c r="C1" t="s">
        <v>18</v>
      </c>
      <c r="D1" t="s">
        <v>16</v>
      </c>
      <c r="E1" t="s">
        <v>30</v>
      </c>
      <c r="F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FF20-36A3-40D1-8B97-3AF311333246}">
  <dimension ref="A1:K1"/>
  <sheetViews>
    <sheetView zoomScale="130" zoomScaleNormal="130" workbookViewId="0">
      <selection activeCell="J11" sqref="J11"/>
    </sheetView>
  </sheetViews>
  <sheetFormatPr defaultRowHeight="14.5" x14ac:dyDescent="0.35"/>
  <sheetData>
    <row r="1" spans="1:11" x14ac:dyDescent="0.35">
      <c r="A1" t="s">
        <v>27</v>
      </c>
      <c r="B1" t="s">
        <v>32</v>
      </c>
      <c r="C1" t="s">
        <v>33</v>
      </c>
      <c r="D1" t="s">
        <v>34</v>
      </c>
      <c r="E1" t="s">
        <v>35</v>
      </c>
      <c r="F1" t="s">
        <v>96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B777-4B0C-44AB-9E85-F8473D6A4A84}">
  <dimension ref="A1:L1"/>
  <sheetViews>
    <sheetView topLeftCell="I1" zoomScale="130" zoomScaleNormal="130" workbookViewId="0">
      <selection activeCell="I2" sqref="I2"/>
    </sheetView>
  </sheetViews>
  <sheetFormatPr defaultRowHeight="14.5" x14ac:dyDescent="0.35"/>
  <sheetData>
    <row r="1" spans="1:12" x14ac:dyDescent="0.35">
      <c r="A1" t="s">
        <v>96</v>
      </c>
      <c r="B1" t="s">
        <v>41</v>
      </c>
      <c r="C1" t="s">
        <v>39</v>
      </c>
      <c r="D1" t="s">
        <v>42</v>
      </c>
      <c r="I1" t="s">
        <v>96</v>
      </c>
      <c r="J1" t="s">
        <v>178</v>
      </c>
      <c r="K1" t="s">
        <v>39</v>
      </c>
      <c r="L1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BE82-C9F8-48B6-B4D9-D671358516C3}">
  <dimension ref="A1:G8"/>
  <sheetViews>
    <sheetView zoomScale="130" zoomScaleNormal="130" workbookViewId="0">
      <selection activeCell="J12" sqref="J12"/>
    </sheetView>
  </sheetViews>
  <sheetFormatPr defaultRowHeight="14.5" x14ac:dyDescent="0.35"/>
  <cols>
    <col min="1" max="1" width="2.36328125" style="11" bestFit="1" customWidth="1"/>
    <col min="2" max="2" width="14.81640625" style="11" bestFit="1" customWidth="1"/>
    <col min="3" max="3" width="8.7265625" style="11"/>
    <col min="4" max="5" width="6" style="11" bestFit="1" customWidth="1"/>
    <col min="6" max="16384" width="8.7265625" style="11"/>
  </cols>
  <sheetData>
    <row r="1" spans="1:7" x14ac:dyDescent="0.35">
      <c r="A1" s="11" t="s">
        <v>96</v>
      </c>
      <c r="B1" s="11" t="s">
        <v>43</v>
      </c>
      <c r="C1" s="11" t="s">
        <v>44</v>
      </c>
      <c r="D1" s="11" t="s">
        <v>45</v>
      </c>
      <c r="E1" s="11" t="s">
        <v>38</v>
      </c>
    </row>
    <row r="2" spans="1:7" x14ac:dyDescent="0.35">
      <c r="A2" s="11">
        <v>1</v>
      </c>
      <c r="B2" s="11" t="s">
        <v>143</v>
      </c>
      <c r="C2" s="13" t="s">
        <v>150</v>
      </c>
      <c r="D2" s="11">
        <v>1</v>
      </c>
      <c r="E2" s="11">
        <v>1</v>
      </c>
      <c r="G2" s="11" t="str">
        <f>"INSERT INTO dbo.Account VALUES('"&amp;B2&amp;"', '"&amp;C2&amp;"', '"&amp;D2&amp;"', '"&amp;E2&amp;"');"</f>
        <v>INSERT INTO dbo.Account VALUES('minhanh2104', 'tpnma@', '1', '1');</v>
      </c>
    </row>
    <row r="3" spans="1:7" x14ac:dyDescent="0.35">
      <c r="A3" s="11">
        <v>2</v>
      </c>
      <c r="B3" s="11" t="s">
        <v>144</v>
      </c>
      <c r="C3" s="13" t="s">
        <v>151</v>
      </c>
      <c r="D3" s="11">
        <v>0</v>
      </c>
      <c r="E3" s="11">
        <v>2</v>
      </c>
      <c r="G3" s="11" t="str">
        <f t="shared" ref="G3:G8" si="0">"INSERT INTO dbo.Account VALUES('"&amp;B3&amp;"', '"&amp;C3&amp;"', '"&amp;D3&amp;"', '"&amp;E3&amp;"');"</f>
        <v>INSERT INTO dbo.Account VALUES('minhduc2303', 'tptmd@', '0', '2');</v>
      </c>
    </row>
    <row r="4" spans="1:7" x14ac:dyDescent="0.35">
      <c r="A4" s="11">
        <v>3</v>
      </c>
      <c r="B4" s="11" t="s">
        <v>145</v>
      </c>
      <c r="C4" s="13" t="s">
        <v>152</v>
      </c>
      <c r="D4" s="11">
        <v>1</v>
      </c>
      <c r="E4" s="11">
        <v>3</v>
      </c>
      <c r="G4" s="11" t="str">
        <f t="shared" si="0"/>
        <v>INSERT INTO dbo.Account VALUES('dantruong2007', 'tppdt@', '1', '3');</v>
      </c>
    </row>
    <row r="5" spans="1:7" x14ac:dyDescent="0.35">
      <c r="A5" s="11">
        <v>4</v>
      </c>
      <c r="B5" s="11" t="s">
        <v>146</v>
      </c>
      <c r="C5" s="13" t="s">
        <v>153</v>
      </c>
      <c r="D5" s="11">
        <v>1</v>
      </c>
      <c r="E5" s="11">
        <v>4</v>
      </c>
      <c r="G5" s="11" t="str">
        <f t="shared" si="0"/>
        <v>INSERT INTO dbo.Account VALUES('thinhphat1512', 'tphtp@', '1', '4');</v>
      </c>
    </row>
    <row r="6" spans="1:7" x14ac:dyDescent="0.35">
      <c r="A6" s="11">
        <v>5</v>
      </c>
      <c r="B6" s="11" t="s">
        <v>147</v>
      </c>
      <c r="C6" s="13" t="s">
        <v>154</v>
      </c>
      <c r="D6" s="11">
        <v>0</v>
      </c>
      <c r="E6" s="11">
        <v>5</v>
      </c>
      <c r="G6" s="11" t="str">
        <f t="shared" si="0"/>
        <v>INSERT INTO dbo.Account VALUES('vietthy1908', 'tpvvt@', '0', '5');</v>
      </c>
    </row>
    <row r="7" spans="1:7" x14ac:dyDescent="0.35">
      <c r="A7" s="11">
        <v>6</v>
      </c>
      <c r="B7" s="11" t="s">
        <v>148</v>
      </c>
      <c r="C7" s="13" t="s">
        <v>155</v>
      </c>
      <c r="D7" s="11">
        <v>0</v>
      </c>
      <c r="E7" s="11">
        <v>6</v>
      </c>
      <c r="G7" s="11" t="str">
        <f t="shared" si="0"/>
        <v>INSERT INTO dbo.Account VALUES('phuongthuy2505', 'tplpt@', '0', '6');</v>
      </c>
    </row>
    <row r="8" spans="1:7" x14ac:dyDescent="0.35">
      <c r="A8" s="11">
        <v>7</v>
      </c>
      <c r="B8" s="11" t="s">
        <v>149</v>
      </c>
      <c r="C8" s="13" t="s">
        <v>156</v>
      </c>
      <c r="D8" s="11">
        <v>0</v>
      </c>
      <c r="E8" s="11">
        <v>7</v>
      </c>
      <c r="G8" s="11" t="str">
        <f t="shared" si="0"/>
        <v>INSERT INTO dbo.Account VALUES('hieuthao2103', 'tpntht@', '0', '7');</v>
      </c>
    </row>
  </sheetData>
  <hyperlinks>
    <hyperlink ref="C2" r:id="rId1" xr:uid="{7645B51B-4901-43F5-906E-7095DF886127}"/>
    <hyperlink ref="C3" r:id="rId2" xr:uid="{BF0FDD20-E8B2-4581-BECD-945052E16E69}"/>
    <hyperlink ref="C4" r:id="rId3" xr:uid="{1174A4B8-3410-440D-ACA6-12C1B87BD888}"/>
    <hyperlink ref="C5" r:id="rId4" xr:uid="{9F2A5F69-CA06-418C-A60C-9B9F4FD2BABF}"/>
    <hyperlink ref="C6" r:id="rId5" xr:uid="{9D1FBB72-76DF-4B37-8FBF-2A96EDAF062D}"/>
    <hyperlink ref="C7" r:id="rId6" xr:uid="{A4D94CA3-C3FC-4672-9EC1-D319CBF81DC2}"/>
    <hyperlink ref="C8" r:id="rId7" xr:uid="{5AFF7148-A385-4859-BC24-548510123D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Movie</vt:lpstr>
      <vt:lpstr>Hall</vt:lpstr>
      <vt:lpstr>Screen</vt:lpstr>
      <vt:lpstr>Seat</vt:lpstr>
      <vt:lpstr>Customer</vt:lpstr>
      <vt:lpstr>Shift Schedule</vt:lpstr>
      <vt:lpstr>Staff</vt:lpstr>
      <vt:lpstr>Snack</vt:lpstr>
      <vt:lpstr>ShowTime</vt:lpstr>
      <vt:lpstr>Ticket</vt:lpstr>
      <vt:lpstr>Ticket Snack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Thịnh Phát</dc:creator>
  <cp:lastModifiedBy>Hồ Thịnh Phát</cp:lastModifiedBy>
  <dcterms:created xsi:type="dcterms:W3CDTF">2025-10-08T15:15:38Z</dcterms:created>
  <dcterms:modified xsi:type="dcterms:W3CDTF">2025-11-08T16:59:17Z</dcterms:modified>
</cp:coreProperties>
</file>